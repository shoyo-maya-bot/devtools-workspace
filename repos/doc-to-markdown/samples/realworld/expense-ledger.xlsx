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4月" sheetId="1" state="visible" r:id="rId3"/>
    <sheet name="部門別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<sst xmlns="http://schemas.openxmlformats.org/spreadsheetml/2006/main" count="38" uniqueCount="30">
  <si>
    <r>
      <rPr>
        <b val="true"/>
        <sz val="14"/>
        <rFont val="Noto Sans CJK SC"/>
        <family val="2"/>
      </rPr>
      <t xml:space="preserve">経費精算台帳（</t>
    </r>
    <r>
      <rPr>
        <b val="true"/>
        <sz val="14"/>
        <rFont val="Cambria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年</t>
    </r>
    <r>
      <rPr>
        <b val="true"/>
        <sz val="14"/>
        <rFont val="Cambria"/>
        <family val="0"/>
        <charset val="1"/>
      </rPr>
      <t xml:space="preserve">4</t>
    </r>
    <r>
      <rPr>
        <b val="true"/>
        <sz val="14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</si>
  <si>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作成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総務部</t>
    </r>
  </si>
  <si>
    <r>
      <rPr>
        <sz val="11"/>
        <color theme="1"/>
        <rFont val="Noto Sans CJK SC"/>
        <family val="2"/>
      </rPr>
      <t xml:space="preserve">申請</t>
    </r>
    <r>
      <rPr>
        <sz val="11"/>
        <color theme="1"/>
        <rFont val="Calibri"/>
        <family val="2"/>
        <charset val="1"/>
      </rPr>
      <t xml:space="preserve">ID</t>
    </r>
  </si>
  <si>
    <t xml:space="preserve">申請日</t>
  </si>
  <si>
    <t xml:space="preserve">区分</t>
  </si>
  <si>
    <t xml:space="preserve">金額</t>
  </si>
  <si>
    <t xml:space="preserve">承認者</t>
  </si>
  <si>
    <t xml:space="preserve">上限</t>
  </si>
  <si>
    <t xml:space="preserve">税抜</t>
  </si>
  <si>
    <t xml:space="preserve">税額</t>
  </si>
  <si>
    <t xml:space="preserve">税込</t>
  </si>
  <si>
    <t xml:space="preserve">交通費</t>
  </si>
  <si>
    <t xml:space="preserve">実費</t>
  </si>
  <si>
    <t xml:space="preserve">A-001</t>
  </si>
  <si>
    <t xml:space="preserve">佐藤</t>
  </si>
  <si>
    <t xml:space="preserve">宿泊費</t>
  </si>
  <si>
    <t xml:space="preserve">A-002</t>
  </si>
  <si>
    <t xml:space="preserve">接待費</t>
  </si>
  <si>
    <t xml:space="preserve">要承認</t>
  </si>
  <si>
    <t xml:space="preserve">A-003</t>
  </si>
  <si>
    <t xml:space="preserve">A-004</t>
  </si>
  <si>
    <t xml:space="preserve">田中</t>
  </si>
  <si>
    <t xml:space="preserve">合計</t>
  </si>
  <si>
    <r>
      <rPr>
        <sz val="11"/>
        <color theme="1"/>
        <rFont val="Noto Sans CJK SC"/>
        <family val="2"/>
      </rPr>
      <t xml:space="preserve">※ 税額は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端数切り捨て</t>
    </r>
  </si>
  <si>
    <t xml:space="preserve">部門</t>
  </si>
  <si>
    <t xml:space="preserve">担当</t>
  </si>
  <si>
    <t xml:space="preserve">件数</t>
  </si>
  <si>
    <t xml:space="preserve">営業部</t>
  </si>
  <si>
    <t xml:space="preserve">鈴木</t>
  </si>
  <si>
    <t xml:space="preserve">開発部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</si>
</sst>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Cambria"/>
      <family val="0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7.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/>
      <c r="F4" s="3"/>
      <c r="G4" s="3" t="s">
        <v>6</v>
      </c>
      <c r="J4" s="2" t="s">
        <v>4</v>
      </c>
      <c r="K4" s="2" t="s">
        <v>7</v>
      </c>
    </row>
    <row r="5" customFormat="false" ht="15" hidden="false" customHeight="false" outlineLevel="0" collapsed="false">
      <c r="A5" s="3"/>
      <c r="B5" s="3"/>
      <c r="C5" s="3"/>
      <c r="D5" s="2" t="s">
        <v>8</v>
      </c>
      <c r="E5" s="2" t="s">
        <v>9</v>
      </c>
      <c r="F5" s="2" t="s">
        <v>10</v>
      </c>
      <c r="G5" s="3"/>
      <c r="J5" s="2" t="s">
        <v>11</v>
      </c>
      <c r="K5" s="2" t="s">
        <v>12</v>
      </c>
    </row>
    <row r="6" customFormat="false" ht="15" hidden="false" customHeight="false" outlineLevel="0" collapsed="false">
      <c r="A6" s="0" t="s">
        <v>13</v>
      </c>
      <c r="B6" s="4" t="n">
        <v>46113</v>
      </c>
      <c r="C6" s="2" t="s">
        <v>11</v>
      </c>
      <c r="D6" s="0" t="n">
        <v>1000</v>
      </c>
      <c r="E6" s="2" t="n">
        <f aca="false">ROUNDDOWN(D6*0.1,0)</f>
        <v>100</v>
      </c>
      <c r="F6" s="2" t="n">
        <f aca="false">D6+E6</f>
        <v>1100</v>
      </c>
      <c r="G6" s="2" t="s">
        <v>14</v>
      </c>
      <c r="J6" s="2" t="s">
        <v>15</v>
      </c>
      <c r="K6" s="0" t="n">
        <v>10000</v>
      </c>
    </row>
    <row r="7" customFormat="false" ht="15" hidden="false" customHeight="false" outlineLevel="0" collapsed="false">
      <c r="A7" s="0" t="s">
        <v>16</v>
      </c>
      <c r="B7" s="4" t="n">
        <v>46114</v>
      </c>
      <c r="C7" s="2" t="s">
        <v>15</v>
      </c>
      <c r="D7" s="0" t="n">
        <v>8000</v>
      </c>
      <c r="E7" s="2" t="n">
        <f aca="false">ROUNDDOWN(D7*0.1,0)</f>
        <v>800</v>
      </c>
      <c r="F7" s="2" t="n">
        <f aca="false">D7+E7</f>
        <v>8800</v>
      </c>
      <c r="G7" s="2" t="s">
        <v>14</v>
      </c>
      <c r="J7" s="2" t="s">
        <v>17</v>
      </c>
      <c r="K7" s="2" t="s">
        <v>18</v>
      </c>
    </row>
    <row r="8" customFormat="false" ht="15" hidden="true" customHeight="false" outlineLevel="0" collapsed="false">
      <c r="A8" s="0" t="s">
        <v>19</v>
      </c>
      <c r="B8" s="4" t="n">
        <v>46115</v>
      </c>
      <c r="C8" s="2" t="s">
        <v>17</v>
      </c>
      <c r="D8" s="0" t="n">
        <v>30000</v>
      </c>
      <c r="E8" s="2" t="n">
        <f aca="false">ROUNDDOWN(D8*0.1,0)</f>
        <v>3000</v>
      </c>
      <c r="F8" s="2" t="n">
        <f aca="false">D8+E8</f>
        <v>33000</v>
      </c>
    </row>
    <row r="9" customFormat="false" ht="15" hidden="false" customHeight="false" outlineLevel="0" collapsed="false">
      <c r="A9" s="0" t="s">
        <v>20</v>
      </c>
      <c r="B9" s="4" t="n">
        <v>46117</v>
      </c>
      <c r="C9" s="2" t="s">
        <v>11</v>
      </c>
      <c r="D9" s="0" t="n">
        <v>2500</v>
      </c>
      <c r="E9" s="2" t="n">
        <f aca="false">ROUNDDOWN(D9*0.1,0)</f>
        <v>250</v>
      </c>
      <c r="F9" s="2" t="n">
        <f aca="false">D9+E9</f>
        <v>2750</v>
      </c>
      <c r="G9" s="2" t="s">
        <v>21</v>
      </c>
    </row>
    <row r="10" customFormat="false" ht="15" hidden="false" customHeight="false" outlineLevel="0" collapsed="false">
      <c r="A10" s="2" t="s">
        <v>22</v>
      </c>
      <c r="D10" s="0" t="n">
        <f aca="false">SUM(D6:D9)</f>
        <v>41500</v>
      </c>
      <c r="E10" s="0" t="n">
        <f aca="false">SUM(E6:E9)</f>
        <v>4150</v>
      </c>
      <c r="F10" s="0" t="n">
        <f aca="false">SUM(F6:F9)</f>
        <v>45650</v>
      </c>
    </row>
    <row r="11" customFormat="false" ht="17.15" hidden="false" customHeight="false" outlineLevel="0" collapsed="false">
      <c r="A11" s="2" t="s">
        <v>23</v>
      </c>
    </row>
  </sheetData>
  <mergeCells count="6">
    <mergeCell ref="A1:G1"/>
    <mergeCell ref="A4:A5"/>
    <mergeCell ref="B4:B5"/>
    <mergeCell ref="C4:C5"/>
    <mergeCell ref="D4:F4"/>
    <mergeCell ref="G4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24</v>
      </c>
      <c r="B1" s="2" t="s">
        <v>25</v>
      </c>
      <c r="C1" s="2" t="s">
        <v>26</v>
      </c>
    </row>
    <row r="2" customFormat="false" ht="15" hidden="false" customHeight="false" outlineLevel="0" collapsed="false">
      <c r="A2" s="3" t="s">
        <v>27</v>
      </c>
      <c r="B2" s="2" t="s">
        <v>14</v>
      </c>
      <c r="C2" s="0" t="n">
        <v>2</v>
      </c>
    </row>
    <row r="3" customFormat="false" ht="15" hidden="false" customHeight="false" outlineLevel="0" collapsed="false">
      <c r="A3" s="3"/>
      <c r="B3" s="2" t="s">
        <v>28</v>
      </c>
      <c r="C3" s="0" t="n">
        <v>1</v>
      </c>
    </row>
    <row r="4" customFormat="false" ht="15" hidden="false" customHeight="false" outlineLevel="0" collapsed="false">
      <c r="A4" s="2" t="s">
        <v>29</v>
      </c>
      <c r="B4" s="2" t="s">
        <v>21</v>
      </c>
      <c r="C4" s="0" t="n">
        <v>1</v>
      </c>
    </row>
  </sheetData>
  <mergeCells count="1">
    <mergeCell ref="A2: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2026-09-29T21:18:58Z</dcterms:created>
  <dc:creator>openpyxl</dc:creator>
  <dc:description/>
  <dc:language>en-US</dc:language>
  <cp:lastModifiedBy/>
  <dcterms:modified xsi:type="dcterms:W3CDTF">2026-09-29T21:18:58Z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